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DYF 2027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 CHF&quot;"/>
  </numFmts>
  <fonts count="19">
    <font>
      <name val="Calibri"/>
      <family val="2"/>
      <color theme="1"/>
      <sz val="11"/>
      <scheme val="minor"/>
    </font>
    <font>
      <name val="Calibri"/>
      <b val="1"/>
      <color rgb="00F5B731"/>
      <sz val="20"/>
    </font>
    <font>
      <name val="Calibri"/>
      <i val="1"/>
      <color rgb="00AAAAAA"/>
      <sz val="10"/>
    </font>
    <font>
      <name val="Calibri"/>
      <b val="1"/>
      <color rgb="00FFF5E6"/>
      <sz val="10"/>
    </font>
    <font>
      <name val="Calibri"/>
      <b val="1"/>
      <color rgb="00FFFFFF"/>
      <sz val="12"/>
    </font>
    <font>
      <name val="Calibri"/>
      <b val="1"/>
      <color rgb="001A1A1A"/>
      <sz val="10"/>
    </font>
    <font>
      <name val="Calibri"/>
      <i val="1"/>
      <color rgb="00555555"/>
      <sz val="9"/>
    </font>
    <font>
      <name val="Calibri"/>
      <b val="1"/>
      <color rgb="001A0A12"/>
      <sz val="11"/>
    </font>
    <font>
      <name val="Calibri"/>
      <b val="1"/>
      <color rgb="001A6B2A"/>
      <sz val="9"/>
    </font>
    <font>
      <name val="Calibri"/>
      <b val="1"/>
      <color rgb="008B3A00"/>
      <sz val="9"/>
    </font>
    <font>
      <name val="Calibri"/>
      <b val="1"/>
      <color rgb="00FFFFFF"/>
      <sz val="10"/>
    </font>
    <font>
      <name val="Calibri"/>
      <b val="1"/>
      <color rgb="00F5B731"/>
      <sz val="12"/>
    </font>
    <font>
      <name val="Calibri"/>
      <b val="1"/>
      <color rgb="007B5800"/>
      <sz val="9"/>
    </font>
    <font>
      <name val="Calibri"/>
      <b val="1"/>
      <color rgb="00555555"/>
      <sz val="9"/>
    </font>
    <font>
      <name val="Calibri"/>
      <b val="1"/>
      <color rgb="001A3A6B"/>
      <sz val="9"/>
    </font>
    <font>
      <name val="Calibri"/>
      <b val="1"/>
      <color rgb="00F5B731"/>
      <sz val="16"/>
    </font>
    <font>
      <name val="Calibri"/>
      <b val="1"/>
      <color rgb="00F5B731"/>
      <sz val="18"/>
    </font>
    <font>
      <name val="Calibri"/>
      <b val="1"/>
      <color rgb="00333333"/>
      <sz val="10"/>
    </font>
    <font>
      <name val="Calibri"/>
      <color rgb="00555555"/>
      <sz val="9"/>
    </font>
  </fonts>
  <fills count="18">
    <fill>
      <patternFill/>
    </fill>
    <fill>
      <patternFill patternType="gray125"/>
    </fill>
    <fill>
      <patternFill patternType="solid">
        <fgColor rgb="001A0A12"/>
      </patternFill>
    </fill>
    <fill>
      <patternFill patternType="solid">
        <fgColor rgb="006B1D3A"/>
      </patternFill>
    </fill>
    <fill>
      <patternFill patternType="solid">
        <fgColor rgb="00C41E3A"/>
      </patternFill>
    </fill>
    <fill>
      <patternFill patternType="solid">
        <fgColor rgb="00F7F7F7"/>
      </patternFill>
    </fill>
    <fill>
      <patternFill patternType="solid">
        <fgColor rgb="00E8F5EA"/>
      </patternFill>
    </fill>
    <fill>
      <patternFill patternType="solid">
        <fgColor rgb="00FFFFFF"/>
      </patternFill>
    </fill>
    <fill>
      <patternFill patternType="solid">
        <fgColor rgb="00FFF0E0"/>
      </patternFill>
    </fill>
    <fill>
      <patternFill patternType="solid">
        <fgColor rgb="001A3A6B"/>
      </patternFill>
    </fill>
    <fill>
      <patternFill patternType="solid">
        <fgColor rgb="00FFF8E1"/>
      </patternFill>
    </fill>
    <fill>
      <patternFill patternType="solid">
        <fgColor rgb="001A6B5A"/>
      </patternFill>
    </fill>
    <fill>
      <patternFill patternType="solid">
        <fgColor rgb="00F5F5F5"/>
      </patternFill>
    </fill>
    <fill>
      <patternFill patternType="solid">
        <fgColor rgb="00E86A17"/>
      </patternFill>
    </fill>
    <fill>
      <patternFill patternType="solid">
        <fgColor rgb="005C2D8F"/>
      </patternFill>
    </fill>
    <fill>
      <patternFill patternType="solid">
        <fgColor rgb="00E8F0FB"/>
      </patternFill>
    </fill>
    <fill>
      <patternFill patternType="solid">
        <fgColor rgb="00F0F0F0"/>
      </patternFill>
    </fill>
    <fill>
      <patternFill patternType="solid">
        <fgColor rgb="00FAFAFA"/>
      </patternFill>
    </fill>
  </fills>
  <borders count="3">
    <border>
      <left/>
      <right/>
      <top/>
      <bottom/>
      <diagonal/>
    </border>
    <border>
      <left style="medium">
        <color rgb="006B1D3A"/>
      </left>
      <right style="medium">
        <color rgb="006B1D3A"/>
      </right>
      <top style="medium">
        <color rgb="006B1D3A"/>
      </top>
      <bottom style="medium">
        <color rgb="006B1D3A"/>
      </bottom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2" applyAlignment="1" pivotButton="0" quotePrefix="0" xfId="0">
      <alignment horizontal="left" vertical="center"/>
    </xf>
    <xf numFmtId="0" fontId="6" fillId="5" borderId="2" applyAlignment="1" pivotButton="0" quotePrefix="0" xfId="0">
      <alignment horizontal="left" vertical="center" wrapText="1"/>
    </xf>
    <xf numFmtId="164" fontId="7" fillId="5" borderId="2" applyAlignment="1" pivotButton="0" quotePrefix="0" xfId="0">
      <alignment horizontal="right" vertical="center"/>
    </xf>
    <xf numFmtId="0" fontId="8" fillId="6" borderId="2" applyAlignment="1" pivotButton="0" quotePrefix="0" xfId="0">
      <alignment horizontal="center" vertical="center"/>
    </xf>
    <xf numFmtId="0" fontId="5" fillId="7" borderId="2" applyAlignment="1" pivotButton="0" quotePrefix="0" xfId="0">
      <alignment horizontal="left" vertical="center"/>
    </xf>
    <xf numFmtId="0" fontId="6" fillId="7" borderId="2" applyAlignment="1" pivotButton="0" quotePrefix="0" xfId="0">
      <alignment horizontal="left" vertical="center" wrapText="1"/>
    </xf>
    <xf numFmtId="164" fontId="7" fillId="7" borderId="2" applyAlignment="1" pivotButton="0" quotePrefix="0" xfId="0">
      <alignment horizontal="right" vertical="center"/>
    </xf>
    <xf numFmtId="0" fontId="9" fillId="8" borderId="2" applyAlignment="1" pivotButton="0" quotePrefix="0" xfId="0">
      <alignment horizontal="center" vertical="center"/>
    </xf>
    <xf numFmtId="0" fontId="10" fillId="4" borderId="0" applyAlignment="1" pivotButton="0" quotePrefix="0" xfId="0">
      <alignment horizontal="right" vertical="center"/>
    </xf>
    <xf numFmtId="164" fontId="11" fillId="2" borderId="0" applyAlignment="1" pivotButton="0" quotePrefix="0" xfId="0">
      <alignment horizontal="right" vertical="center"/>
    </xf>
    <xf numFmtId="0" fontId="0" fillId="2" borderId="0" pivotButton="0" quotePrefix="0" xfId="0"/>
    <xf numFmtId="0" fontId="4" fillId="9" borderId="0" applyAlignment="1" pivotButton="0" quotePrefix="0" xfId="0">
      <alignment horizontal="left" vertical="center"/>
    </xf>
    <xf numFmtId="0" fontId="12" fillId="10" borderId="2" applyAlignment="1" pivotButton="0" quotePrefix="0" xfId="0">
      <alignment horizontal="center" vertical="center"/>
    </xf>
    <xf numFmtId="0" fontId="10" fillId="9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right" vertical="center"/>
    </xf>
    <xf numFmtId="0" fontId="4" fillId="11" borderId="0" applyAlignment="1" pivotButton="0" quotePrefix="0" xfId="0">
      <alignment horizontal="left" vertical="center"/>
    </xf>
    <xf numFmtId="0" fontId="13" fillId="12" borderId="2" applyAlignment="1" pivotButton="0" quotePrefix="0" xfId="0">
      <alignment horizontal="center" vertical="center"/>
    </xf>
    <xf numFmtId="0" fontId="10" fillId="11" borderId="0" applyAlignment="1" pivotButton="0" quotePrefix="0" xfId="0">
      <alignment horizontal="right" vertical="center"/>
    </xf>
    <xf numFmtId="0" fontId="4" fillId="13" borderId="0" applyAlignment="1" pivotButton="0" quotePrefix="0" xfId="0">
      <alignment horizontal="left" vertical="center"/>
    </xf>
    <xf numFmtId="0" fontId="10" fillId="13" borderId="0" applyAlignment="1" pivotButton="0" quotePrefix="0" xfId="0">
      <alignment horizontal="right" vertical="center"/>
    </xf>
    <xf numFmtId="0" fontId="4" fillId="14" borderId="0" applyAlignment="1" pivotButton="0" quotePrefix="0" xfId="0">
      <alignment horizontal="left" vertical="center"/>
    </xf>
    <xf numFmtId="0" fontId="14" fillId="15" borderId="2" applyAlignment="1" pivotButton="0" quotePrefix="0" xfId="0">
      <alignment horizontal="center" vertical="center"/>
    </xf>
    <xf numFmtId="0" fontId="10" fillId="14" borderId="0" applyAlignment="1" pivotButton="0" quotePrefix="0" xfId="0">
      <alignment horizontal="right" vertical="center"/>
    </xf>
    <xf numFmtId="0" fontId="15" fillId="2" borderId="0" applyAlignment="1" pivotButton="0" quotePrefix="0" xfId="0">
      <alignment horizontal="right" vertical="center"/>
    </xf>
    <xf numFmtId="164" fontId="16" fillId="2" borderId="0" applyAlignment="1" pivotButton="0" quotePrefix="0" xfId="0">
      <alignment horizontal="right" vertical="center"/>
    </xf>
    <xf numFmtId="0" fontId="17" fillId="16" borderId="0" pivotButton="0" quotePrefix="0" xfId="0"/>
    <xf numFmtId="0" fontId="8" fillId="6" borderId="0" applyAlignment="1" pivotButton="0" quotePrefix="0" xfId="0">
      <alignment horizontal="center" vertical="center"/>
    </xf>
    <xf numFmtId="0" fontId="18" fillId="17" borderId="0" pivotButton="0" quotePrefix="0" xfId="0"/>
    <xf numFmtId="0" fontId="0" fillId="17" borderId="0" pivotButton="0" quotePrefix="0" xfId="0"/>
    <xf numFmtId="0" fontId="12" fillId="10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13" fillId="12" borderId="0" applyAlignment="1" pivotButton="0" quotePrefix="0" xfId="0">
      <alignment horizontal="center" vertical="center"/>
    </xf>
    <xf numFmtId="0" fontId="14" fillId="1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5B731"/>
    <outlinePr summaryBelow="1" summaryRight="1"/>
    <pageSetUpPr/>
  </sheetPr>
  <dimension ref="A1:D5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16" customWidth="1" min="3" max="3"/>
    <col width="16" customWidth="1" min="4" max="4"/>
  </cols>
  <sheetData>
    <row r="1" ht="52" customHeight="1">
      <c r="A1" s="1" t="inlineStr">
        <is>
          <t>DANCE YOUR FOOT · BUDGET ÉDITION 2027</t>
        </is>
      </c>
    </row>
    <row r="2" ht="20" customHeight="1">
      <c r="A2" s="2" t="inlineStr">
        <is>
          <t>Suisse romande · Première édition · Contact : Sylvain@danceyourfoot.com</t>
        </is>
      </c>
    </row>
    <row r="3" ht="8" customHeight="1"/>
    <row r="4" ht="26" customHeight="1">
      <c r="A4" s="3" t="inlineStr">
        <is>
          <t>POSTE</t>
        </is>
      </c>
      <c r="B4" s="3" t="inlineStr">
        <is>
          <t>DÉTAIL / NOTE</t>
        </is>
      </c>
      <c r="C4" s="3" t="inlineStr">
        <is>
          <t>MONTANT (CHF)</t>
        </is>
      </c>
      <c r="D4" s="3" t="inlineStr">
        <is>
          <t>STATUT</t>
        </is>
      </c>
    </row>
    <row r="5" ht="28" customHeight="1">
      <c r="A5" s="4" t="inlineStr">
        <is>
          <t>👥  RH &amp; CACHETS</t>
        </is>
      </c>
    </row>
    <row r="6" ht="20" customHeight="1">
      <c r="A6" s="5" t="inlineStr">
        <is>
          <t>Coordination</t>
        </is>
      </c>
      <c r="B6" s="6" t="inlineStr">
        <is>
          <t>Responsable événement — journée complète</t>
        </is>
      </c>
      <c r="C6" s="7" t="n">
        <v>200</v>
      </c>
      <c r="D6" s="8" t="inlineStr">
        <is>
          <t>Confirmé</t>
        </is>
      </c>
    </row>
    <row r="7" ht="20" customHeight="1">
      <c r="A7" s="9" t="inlineStr">
        <is>
          <t>DJ</t>
        </is>
      </c>
      <c r="B7" s="10" t="inlineStr">
        <is>
          <t>Cachet artiste — tarif estimé marché suisse</t>
        </is>
      </c>
      <c r="C7" s="11" t="n">
        <v>200</v>
      </c>
      <c r="D7" s="12" t="inlineStr">
        <is>
          <t>À négocier</t>
        </is>
      </c>
    </row>
    <row r="8" ht="20" customHeight="1">
      <c r="A8" s="5" t="inlineStr">
        <is>
          <t>MC / Speaker</t>
        </is>
      </c>
      <c r="B8" s="6" t="inlineStr">
        <is>
          <t>Animation publique — cachet</t>
        </is>
      </c>
      <c r="C8" s="7" t="n">
        <v>200</v>
      </c>
      <c r="D8" s="12" t="inlineStr">
        <is>
          <t>À négocier</t>
        </is>
      </c>
    </row>
    <row r="9" ht="20" customHeight="1">
      <c r="A9" s="9" t="inlineStr">
        <is>
          <t>Arbitre</t>
        </is>
      </c>
      <c r="B9" s="10" t="inlineStr">
        <is>
          <t>Match officiel, briefing inclus</t>
        </is>
      </c>
      <c r="C9" s="11" t="n">
        <v>200</v>
      </c>
      <c r="D9" s="8" t="inlineStr">
        <is>
          <t>Confirmé</t>
        </is>
      </c>
    </row>
    <row r="10" ht="20" customHeight="1">
      <c r="A10" s="5" t="inlineStr">
        <is>
          <t>Photo &amp; vidéo</t>
        </is>
      </c>
      <c r="B10" s="6" t="inlineStr">
        <is>
          <t>Captation jour J + traitement + montage inclus</t>
        </is>
      </c>
      <c r="C10" s="7" t="n">
        <v>2000</v>
      </c>
      <c r="D10" s="8" t="inlineStr">
        <is>
          <t>Confirmé</t>
        </is>
      </c>
    </row>
    <row r="11" ht="20" customHeight="1">
      <c r="A11" s="9" t="inlineStr">
        <is>
          <t>Défraiements équipes</t>
        </is>
      </c>
      <c r="B11" s="10" t="inlineStr">
        <is>
          <t>4 équipes × 200 CHF (transport, repas)</t>
        </is>
      </c>
      <c r="C11" s="11" t="n">
        <v>800</v>
      </c>
      <c r="D11" s="8" t="inlineStr">
        <is>
          <t>Confirmé</t>
        </is>
      </c>
    </row>
    <row r="12" ht="24" customHeight="1">
      <c r="A12" s="13" t="inlineStr">
        <is>
          <t>Sous-total — RH &amp; CACHETS</t>
        </is>
      </c>
      <c r="C12" s="14">
        <f>SUM(C6:C11)</f>
        <v/>
      </c>
      <c r="D12" s="15" t="n"/>
    </row>
    <row r="14" ht="28" customHeight="1">
      <c r="A14" s="16" t="inlineStr">
        <is>
          <t>🏟️  LIEU &amp; TECHNIQUE</t>
        </is>
      </c>
    </row>
    <row r="15" ht="20" customHeight="1">
      <c r="A15" s="5" t="inlineStr">
        <is>
          <t>Location salle / lieu</t>
        </is>
      </c>
      <c r="B15" s="6" t="inlineStr">
        <is>
          <t>Espace urbain couvert — estimation milieu de gamme</t>
        </is>
      </c>
      <c r="C15" s="7" t="n">
        <v>2500</v>
      </c>
      <c r="D15" s="17" t="inlineStr">
        <is>
          <t>Estimé</t>
        </is>
      </c>
    </row>
    <row r="16" ht="20" customHeight="1">
      <c r="A16" s="9" t="inlineStr">
        <is>
          <t>Sonorisation</t>
        </is>
      </c>
      <c r="B16" s="10" t="inlineStr">
        <is>
          <t>Enceintes, table de mix, câblage, ingé son</t>
        </is>
      </c>
      <c r="C16" s="11" t="n">
        <v>800</v>
      </c>
      <c r="D16" s="17" t="inlineStr">
        <is>
          <t>Estimé</t>
        </is>
      </c>
    </row>
    <row r="17" ht="20" customHeight="1">
      <c r="A17" s="5" t="inlineStr">
        <is>
          <t>Éclairage</t>
        </is>
      </c>
      <c r="B17" s="6" t="inlineStr">
        <is>
          <t>Jeux de lumière, projecteurs, ambiance scénique</t>
        </is>
      </c>
      <c r="C17" s="7" t="n">
        <v>500</v>
      </c>
      <c r="D17" s="17" t="inlineStr">
        <is>
          <t>Estimé</t>
        </is>
      </c>
    </row>
    <row r="18" ht="20" customHeight="1">
      <c r="A18" s="9" t="inlineStr">
        <is>
          <t>Électricité</t>
        </is>
      </c>
      <c r="B18" s="10" t="inlineStr">
        <is>
          <t>Raccordement technique / générateur si besoin</t>
        </is>
      </c>
      <c r="C18" s="11" t="n">
        <v>200</v>
      </c>
      <c r="D18" s="17" t="inlineStr">
        <is>
          <t>Estimé</t>
        </is>
      </c>
    </row>
    <row r="19" ht="24" customHeight="1">
      <c r="A19" s="18" t="inlineStr">
        <is>
          <t>Sous-total — LIEU &amp; TECHNIQUE</t>
        </is>
      </c>
      <c r="C19" s="14">
        <f>SUM(C15:C18)</f>
        <v/>
      </c>
      <c r="D19" s="15" t="n"/>
    </row>
    <row r="21" ht="28" customHeight="1">
      <c r="A21" s="19" t="inlineStr">
        <is>
          <t>📦  MATÉRIEL &amp; LOGISTIQUE</t>
        </is>
      </c>
    </row>
    <row r="22" ht="20" customHeight="1">
      <c r="A22" s="5" t="inlineStr">
        <is>
          <t>Terrain gonflable</t>
        </is>
      </c>
      <c r="B22" s="6" t="inlineStr">
        <is>
          <t>Location + installation + personnalisation</t>
        </is>
      </c>
      <c r="C22" s="7" t="n">
        <v>2000</v>
      </c>
      <c r="D22" s="8" t="inlineStr">
        <is>
          <t>Confirmé</t>
        </is>
      </c>
    </row>
    <row r="23" ht="20" customHeight="1">
      <c r="A23" s="9" t="inlineStr">
        <is>
          <t>Chasubles personnalisées</t>
        </is>
      </c>
      <c r="B23" s="10" t="inlineStr">
        <is>
          <t>30 pièces — crew + équipes</t>
        </is>
      </c>
      <c r="C23" s="11" t="n">
        <v>400</v>
      </c>
      <c r="D23" s="8" t="inlineStr">
        <is>
          <t>Confirmé</t>
        </is>
      </c>
    </row>
    <row r="24" ht="20" customHeight="1">
      <c r="A24" s="5" t="inlineStr">
        <is>
          <t>Ballon personnalisé</t>
        </is>
      </c>
      <c r="B24" s="6" t="inlineStr">
        <is>
          <t>Ballon officiel aux couleurs DYF</t>
        </is>
      </c>
      <c r="C24" s="7" t="n">
        <v>60</v>
      </c>
      <c r="D24" s="8" t="inlineStr">
        <is>
          <t>Confirmé</t>
        </is>
      </c>
    </row>
    <row r="25" ht="20" customHeight="1">
      <c r="A25" s="9" t="inlineStr">
        <is>
          <t>Cartons public &amp; arbitres</t>
        </is>
      </c>
      <c r="B25" s="10" t="inlineStr">
        <is>
          <t>~500 cartons bicolores distribués à l'entrée</t>
        </is>
      </c>
      <c r="C25" s="11" t="n">
        <v>200</v>
      </c>
      <c r="D25" s="8" t="inlineStr">
        <is>
          <t>Confirmé</t>
        </is>
      </c>
    </row>
    <row r="26" ht="20" customHeight="1">
      <c r="A26" s="5" t="inlineStr">
        <is>
          <t>Transport &amp; logistique</t>
        </is>
      </c>
      <c r="B26" s="6" t="inlineStr">
        <is>
          <t>Déplacement matériel, manutention</t>
        </is>
      </c>
      <c r="C26" s="7" t="n">
        <v>300</v>
      </c>
      <c r="D26" s="8" t="inlineStr">
        <is>
          <t>Confirmé</t>
        </is>
      </c>
    </row>
    <row r="27" ht="24" customHeight="1">
      <c r="A27" s="20" t="inlineStr">
        <is>
          <t>Sous-total — MATÉRIEL &amp; LOGISTIQUE</t>
        </is>
      </c>
      <c r="C27" s="14">
        <f>SUM(C22:C26)</f>
        <v/>
      </c>
      <c r="D27" s="15" t="n"/>
    </row>
    <row r="29" ht="28" customHeight="1">
      <c r="A29" s="21" t="inlineStr">
        <is>
          <t>🛡️  SÉCURITÉ &amp; COUVERTURE</t>
        </is>
      </c>
    </row>
    <row r="30" ht="20" customHeight="1">
      <c r="A30" s="5" t="inlineStr">
        <is>
          <t>Sécurité / Service d'ordre</t>
        </is>
      </c>
      <c r="B30" s="6" t="inlineStr">
        <is>
          <t>Agent(s) selon exigences du lieu</t>
        </is>
      </c>
      <c r="C30" s="7" t="n">
        <v>500</v>
      </c>
      <c r="D30" s="17" t="inlineStr">
        <is>
          <t>Estimé</t>
        </is>
      </c>
    </row>
    <row r="31" ht="20" customHeight="1">
      <c r="A31" s="9" t="inlineStr">
        <is>
          <t>Assurance événementielle</t>
        </is>
      </c>
      <c r="B31" s="10" t="inlineStr">
        <is>
          <t>RC obligatoire pour location de salle</t>
        </is>
      </c>
      <c r="C31" s="11" t="n">
        <v>300</v>
      </c>
      <c r="D31" s="17" t="inlineStr">
        <is>
          <t>Estimé</t>
        </is>
      </c>
    </row>
    <row r="32" ht="20" customHeight="1">
      <c r="A32" s="5" t="inlineStr">
        <is>
          <t>SUISA</t>
        </is>
      </c>
      <c r="B32" s="6" t="inlineStr">
        <is>
          <t>Droits musique live — selon nb spectateurs</t>
        </is>
      </c>
      <c r="C32" s="7" t="n">
        <v>200</v>
      </c>
      <c r="D32" s="22" t="inlineStr">
        <is>
          <t>À vérifier</t>
        </is>
      </c>
    </row>
    <row r="33" ht="24" customHeight="1">
      <c r="A33" s="23" t="inlineStr">
        <is>
          <t>Sous-total — SÉCURITÉ &amp; COUVERTURE</t>
        </is>
      </c>
      <c r="C33" s="14">
        <f>SUM(C30:C32)</f>
        <v/>
      </c>
      <c r="D33" s="15" t="n"/>
    </row>
    <row r="35" ht="28" customHeight="1">
      <c r="A35" s="24" t="inlineStr">
        <is>
          <t>📣  COMMUNICATION &amp; RÉCOMPENSES</t>
        </is>
      </c>
    </row>
    <row r="36" ht="20" customHeight="1">
      <c r="A36" s="5" t="inlineStr">
        <is>
          <t>Communication</t>
        </is>
      </c>
      <c r="B36" s="6" t="inlineStr">
        <is>
          <t>Affiches, flyers, impression + boost réseaux sociaux</t>
        </is>
      </c>
      <c r="C36" s="7" t="n">
        <v>400</v>
      </c>
      <c r="D36" s="17" t="inlineStr">
        <is>
          <t>Estimé</t>
        </is>
      </c>
    </row>
    <row r="37" ht="20" customHeight="1">
      <c r="A37" s="9" t="inlineStr">
        <is>
          <t>Trophées / Prix</t>
        </is>
      </c>
      <c r="B37" s="10" t="inlineStr">
        <is>
          <t>Récompenses équipes, MVP, mention spéciale DJ</t>
        </is>
      </c>
      <c r="C37" s="11" t="n">
        <v>350</v>
      </c>
      <c r="D37" s="17" t="inlineStr">
        <is>
          <t>Estimé</t>
        </is>
      </c>
    </row>
    <row r="38" ht="20" customHeight="1">
      <c r="A38" s="5" t="inlineStr">
        <is>
          <t>Badges &amp; accréditations</t>
        </is>
      </c>
      <c r="B38" s="6" t="inlineStr">
        <is>
          <t>Staff, presse, sponsors — impression + cordons</t>
        </is>
      </c>
      <c r="C38" s="7" t="n">
        <v>100</v>
      </c>
      <c r="D38" s="17" t="inlineStr">
        <is>
          <t>Estimé</t>
        </is>
      </c>
    </row>
    <row r="39" ht="24" customHeight="1">
      <c r="A39" s="25" t="inlineStr">
        <is>
          <t>Sous-total — COMMUNICATION &amp; RÉCOMPENSES</t>
        </is>
      </c>
      <c r="C39" s="14">
        <f>SUM(C36:C38)</f>
        <v/>
      </c>
      <c r="D39" s="15" t="n"/>
    </row>
    <row r="41" ht="28" customHeight="1">
      <c r="A41" s="26" t="inlineStr">
        <is>
          <t>🎨  ORGANISATION &amp; ADMINISTRATION</t>
        </is>
      </c>
    </row>
    <row r="42" ht="20" customHeight="1">
      <c r="A42" s="5" t="inlineStr">
        <is>
          <t>Organisation générale</t>
        </is>
      </c>
      <c r="B42" s="6" t="inlineStr">
        <is>
          <t>Frais admin, coordination, réunions</t>
        </is>
      </c>
      <c r="C42" s="7" t="n">
        <v>2000</v>
      </c>
      <c r="D42" s="8" t="inlineStr">
        <is>
          <t>Confirmé</t>
        </is>
      </c>
    </row>
    <row r="43" ht="20" customHeight="1">
      <c r="A43" s="9" t="inlineStr">
        <is>
          <t>Création graphique &amp; tech</t>
        </is>
      </c>
      <c r="B43" s="10" t="inlineStr">
        <is>
          <t>Identité visuelle, supports, site web</t>
        </is>
      </c>
      <c r="C43" s="11" t="n">
        <v>2000</v>
      </c>
      <c r="D43" s="8" t="inlineStr">
        <is>
          <t>Confirmé</t>
        </is>
      </c>
    </row>
    <row r="44" ht="20" customHeight="1">
      <c r="A44" s="5" t="inlineStr">
        <is>
          <t>Divers &amp; imprévus</t>
        </is>
      </c>
      <c r="B44" s="6" t="inlineStr">
        <is>
          <t>Réserve ~5% du budget total</t>
        </is>
      </c>
      <c r="C44" s="7" t="n">
        <v>500</v>
      </c>
      <c r="D44" s="27" t="inlineStr">
        <is>
          <t>Réserve</t>
        </is>
      </c>
    </row>
    <row r="45" ht="24" customHeight="1">
      <c r="A45" s="28" t="inlineStr">
        <is>
          <t>Sous-total — ORGANISATION &amp; ADMINISTRATION</t>
        </is>
      </c>
      <c r="C45" s="14">
        <f>SUM(C42:C44)</f>
        <v/>
      </c>
      <c r="D45" s="15" t="n"/>
    </row>
    <row r="48" ht="44" customHeight="1">
      <c r="A48" s="29" t="inlineStr">
        <is>
          <t>💰  TOTAL GÉNÉRAL</t>
        </is>
      </c>
      <c r="C48" s="30">
        <f>C12+C19+C27+C33+C39+C45</f>
        <v/>
      </c>
      <c r="D48" s="15" t="n"/>
    </row>
    <row r="50" ht="20" customHeight="1">
      <c r="A50" s="31" t="inlineStr">
        <is>
          <t>Légende des statuts :</t>
        </is>
      </c>
    </row>
    <row r="51" ht="18" customHeight="1">
      <c r="A51" s="32" t="inlineStr">
        <is>
          <t>Confirmé</t>
        </is>
      </c>
      <c r="B51" s="33" t="inlineStr">
        <is>
          <t>Montant validé</t>
        </is>
      </c>
      <c r="C51" s="34" t="n"/>
      <c r="D51" s="34" t="n"/>
    </row>
    <row r="52" ht="18" customHeight="1">
      <c r="A52" s="35" t="inlineStr">
        <is>
          <t>Estimé</t>
        </is>
      </c>
      <c r="B52" s="33" t="inlineStr">
        <is>
          <t>Montant ajouté par DYF</t>
        </is>
      </c>
      <c r="C52" s="34" t="n"/>
      <c r="D52" s="34" t="n"/>
    </row>
    <row r="53" ht="18" customHeight="1">
      <c r="A53" s="36" t="inlineStr">
        <is>
          <t>À négocier</t>
        </is>
      </c>
      <c r="B53" s="33" t="inlineStr">
        <is>
          <t>Tarif à confirmer</t>
        </is>
      </c>
      <c r="C53" s="34" t="n"/>
      <c r="D53" s="34" t="n"/>
    </row>
    <row r="54" ht="18" customHeight="1">
      <c r="A54" s="37" t="inlineStr">
        <is>
          <t>À vérifier</t>
        </is>
      </c>
      <c r="B54" s="33" t="inlineStr">
        <is>
          <t>Dépend du contexte</t>
        </is>
      </c>
      <c r="C54" s="34" t="n"/>
      <c r="D54" s="34" t="n"/>
    </row>
    <row r="55" ht="18" customHeight="1">
      <c r="A55" s="38" t="inlineStr">
        <is>
          <t>Réserve</t>
        </is>
      </c>
      <c r="B55" s="33" t="inlineStr">
        <is>
          <t>Tampon imprévus</t>
        </is>
      </c>
      <c r="C55" s="34" t="n"/>
      <c r="D55" s="34" t="n"/>
    </row>
  </sheetData>
  <mergeCells count="16">
    <mergeCell ref="A1:D1"/>
    <mergeCell ref="A5:D5"/>
    <mergeCell ref="A48:B48"/>
    <mergeCell ref="A35:D35"/>
    <mergeCell ref="A19:B19"/>
    <mergeCell ref="A33:B33"/>
    <mergeCell ref="A50:D50"/>
    <mergeCell ref="A21:D21"/>
    <mergeCell ref="A45:B45"/>
    <mergeCell ref="A29:D29"/>
    <mergeCell ref="A41:D41"/>
    <mergeCell ref="A2:D2"/>
    <mergeCell ref="A27:B27"/>
    <mergeCell ref="A39:B39"/>
    <mergeCell ref="A14:D14"/>
    <mergeCell ref="A12:B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2026-05-23T07:27:00Z</dcterms:created>
  <dcterms:modified xsi:type="dcterms:W3CDTF">2026-05-23T07:27:00Z</dcterms:modified>
</cp:coreProperties>
</file>