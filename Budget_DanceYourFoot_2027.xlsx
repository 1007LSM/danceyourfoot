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DYF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CHF&quot;"/>
  </numFmts>
  <fonts count="13">
    <font>
      <name val="Calibri"/>
      <family val="2"/>
      <color theme="1"/>
      <sz val="11"/>
      <scheme val="minor"/>
    </font>
    <font>
      <name val="Calibri"/>
      <b val="1"/>
      <color rgb="00F5B731"/>
      <sz val="18"/>
    </font>
    <font>
      <name val="Calibri"/>
      <i val="1"/>
      <color rgb="00BBBBBB"/>
      <sz val="10"/>
    </font>
    <font>
      <name val="Calibri"/>
      <b val="1"/>
      <color rgb="00FFF5E6"/>
      <sz val="10"/>
    </font>
    <font>
      <name val="Calibri"/>
      <b val="1"/>
      <color rgb="00FFFFFF"/>
      <sz val="12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b val="1"/>
      <color rgb="00FFFFFF"/>
      <sz val="10"/>
    </font>
    <font>
      <name val="Calibri"/>
      <b val="1"/>
      <color rgb="00F5B731"/>
      <sz val="11"/>
    </font>
    <font>
      <name val="Calibri"/>
      <i val="1"/>
      <color rgb="00C41E3A"/>
      <sz val="10"/>
    </font>
    <font>
      <name val="Calibri"/>
      <b val="1"/>
      <color rgb="00F5B731"/>
      <sz val="14"/>
    </font>
    <font>
      <name val="Calibri"/>
      <b val="1"/>
      <color rgb="00F5B731"/>
      <sz val="16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A0A12"/>
      </patternFill>
    </fill>
    <fill>
      <patternFill patternType="solid">
        <fgColor rgb="006B1D3A"/>
      </patternFill>
    </fill>
    <fill>
      <patternFill patternType="solid">
        <fgColor rgb="00C41E3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7B3A8F"/>
      </patternFill>
    </fill>
    <fill>
      <patternFill patternType="solid">
        <fgColor rgb="00E86A17"/>
      </patternFill>
    </fill>
    <fill>
      <patternFill patternType="solid">
        <fgColor rgb="00FFF4E6"/>
      </patternFill>
    </fill>
    <fill>
      <patternFill patternType="solid">
        <fgColor rgb="00FFF0E0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6B1D3A"/>
      </left>
      <right style="thin">
        <color rgb="006B1D3A"/>
      </right>
      <top style="thin">
        <color rgb="006B1D3A"/>
      </top>
      <bottom style="thin">
        <color rgb="006B1D3A"/>
      </bottom>
    </border>
    <border>
      <left style="medium">
        <color rgb="00C41E3A"/>
      </left>
      <right style="medium">
        <color rgb="00C41E3A"/>
      </right>
      <top style="medium">
        <color rgb="00C41E3A"/>
      </top>
      <bottom style="medium">
        <color rgb="00C41E3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6B1D3A"/>
      </left>
      <right style="medium">
        <color rgb="006B1D3A"/>
      </right>
      <top style="medium">
        <color rgb="006B1D3A"/>
      </top>
      <bottom style="medium">
        <color rgb="006B1D3A"/>
      </bottom>
    </border>
    <border>
      <left style="medium">
        <color rgb="007B3A8F"/>
      </left>
      <right style="medium">
        <color rgb="007B3A8F"/>
      </right>
      <top style="medium">
        <color rgb="007B3A8F"/>
      </top>
      <bottom style="medium">
        <color rgb="007B3A8F"/>
      </bottom>
    </border>
    <border>
      <left style="medium">
        <color rgb="00E86A17"/>
      </left>
      <right style="medium">
        <color rgb="00E86A17"/>
      </right>
      <top style="medium">
        <color rgb="00E86A17"/>
      </top>
      <bottom style="medium">
        <color rgb="00E86A1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164" fontId="6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164" fontId="6" fillId="6" borderId="3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4" fillId="7" borderId="5" applyAlignment="1" pivotButton="0" quotePrefix="0" xfId="0">
      <alignment horizontal="left" vertical="center"/>
    </xf>
    <xf numFmtId="0" fontId="7" fillId="7" borderId="0" applyAlignment="1" pivotButton="0" quotePrefix="0" xfId="0">
      <alignment horizontal="right" vertical="center"/>
    </xf>
    <xf numFmtId="0" fontId="4" fillId="8" borderId="6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right" vertical="center"/>
    </xf>
    <xf numFmtId="0" fontId="5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0" fontId="12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731"/>
    <outlinePr summaryBelow="1" summaryRight="1"/>
    <pageSetUpPr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6" customWidth="1" min="3" max="3"/>
    <col width="14" customWidth="1" min="4" max="4"/>
  </cols>
  <sheetData>
    <row r="1" ht="48" customHeight="1">
      <c r="A1" s="1" t="inlineStr">
        <is>
          <t>DANCE YOUR FOOT · BUDGET ÉDITION 2027</t>
        </is>
      </c>
    </row>
    <row r="2" ht="22" customHeight="1">
      <c r="A2" s="2" t="inlineStr">
        <is>
          <t>Suisse romande · Première édition · Contact : Sylvain@danceyourfoot.com</t>
        </is>
      </c>
    </row>
    <row r="3" ht="10" customHeight="1"/>
    <row r="4" ht="24" customHeight="1">
      <c r="A4" s="3" t="inlineStr">
        <is>
          <t>POSTE</t>
        </is>
      </c>
      <c r="B4" s="3" t="inlineStr">
        <is>
          <t>DÉTAIL / NOTE</t>
        </is>
      </c>
      <c r="C4" s="3" t="inlineStr">
        <is>
          <t>MONTANT (CHF)</t>
        </is>
      </c>
      <c r="D4" s="3" t="inlineStr">
        <is>
          <t>STATUT</t>
        </is>
      </c>
    </row>
    <row r="5" ht="26" customHeight="1">
      <c r="A5" s="4" t="inlineStr">
        <is>
          <t>👥  RH &amp; CACHETS</t>
        </is>
      </c>
    </row>
    <row r="6" ht="20" customHeight="1">
      <c r="A6" s="5" t="inlineStr">
        <is>
          <t>Coordination</t>
        </is>
      </c>
      <c r="B6" s="5" t="inlineStr">
        <is>
          <t>Responsable événement — journée complète</t>
        </is>
      </c>
      <c r="C6" s="6" t="n">
        <v>200</v>
      </c>
      <c r="D6" s="5" t="inlineStr">
        <is>
          <t>Confirmé</t>
        </is>
      </c>
    </row>
    <row r="7" ht="20" customHeight="1">
      <c r="A7" s="7" t="inlineStr">
        <is>
          <t>DJ</t>
        </is>
      </c>
      <c r="B7" s="7" t="inlineStr">
        <is>
          <t>Cachet artiste (tarif à revoir : +300 CHF min.)</t>
        </is>
      </c>
      <c r="C7" s="8" t="n">
        <v>200</v>
      </c>
      <c r="D7" s="7" t="inlineStr">
        <is>
          <t>À négocier</t>
        </is>
      </c>
    </row>
    <row r="8" ht="20" customHeight="1">
      <c r="A8" s="5" t="inlineStr">
        <is>
          <t>MC / Speaker</t>
        </is>
      </c>
      <c r="B8" s="5" t="inlineStr">
        <is>
          <t>Animation publique — cachet</t>
        </is>
      </c>
      <c r="C8" s="6" t="n">
        <v>200</v>
      </c>
      <c r="D8" s="5" t="inlineStr">
        <is>
          <t>À négocier</t>
        </is>
      </c>
    </row>
    <row r="9" ht="20" customHeight="1">
      <c r="A9" s="7" t="inlineStr">
        <is>
          <t>Arbitre</t>
        </is>
      </c>
      <c r="B9" s="7" t="inlineStr">
        <is>
          <t>Match officiel, briefing inclus</t>
        </is>
      </c>
      <c r="C9" s="8" t="n">
        <v>200</v>
      </c>
      <c r="D9" s="7" t="inlineStr">
        <is>
          <t>Confirmé</t>
        </is>
      </c>
    </row>
    <row r="10" ht="20" customHeight="1">
      <c r="A10" s="5" t="inlineStr">
        <is>
          <t>Photo &amp; vidéo</t>
        </is>
      </c>
      <c r="B10" s="5" t="inlineStr">
        <is>
          <t>Captation jour J + traitement + montage</t>
        </is>
      </c>
      <c r="C10" s="6" t="n">
        <v>2000</v>
      </c>
      <c r="D10" s="5" t="inlineStr">
        <is>
          <t>Confirmé</t>
        </is>
      </c>
    </row>
    <row r="11" ht="20" customHeight="1">
      <c r="A11" s="7" t="inlineStr">
        <is>
          <t>Défraiements équipes</t>
        </is>
      </c>
      <c r="B11" s="7" t="inlineStr">
        <is>
          <t>4 équipes × 200 CHF</t>
        </is>
      </c>
      <c r="C11" s="8" t="n">
        <v>800</v>
      </c>
      <c r="D11" s="7" t="inlineStr">
        <is>
          <t>Confirmé</t>
        </is>
      </c>
    </row>
    <row r="12" ht="22" customHeight="1">
      <c r="A12" s="9" t="inlineStr">
        <is>
          <t>Sous-total  RH &amp; CACHETS</t>
        </is>
      </c>
      <c r="C12" s="10">
        <f>SUM(C6:C11)</f>
        <v/>
      </c>
      <c r="D12" s="11" t="n"/>
    </row>
    <row r="14" ht="26" customHeight="1">
      <c r="A14" s="12" t="inlineStr">
        <is>
          <t>📦  MATÉRIEL &amp; LOGISTIQUE</t>
        </is>
      </c>
    </row>
    <row r="15" ht="20" customHeight="1">
      <c r="A15" s="5" t="inlineStr">
        <is>
          <t>Ballon personnalisé</t>
        </is>
      </c>
      <c r="B15" s="5" t="inlineStr">
        <is>
          <t>Ballon officiel aux couleurs DYF</t>
        </is>
      </c>
      <c r="C15" s="6" t="n">
        <v>60</v>
      </c>
      <c r="D15" s="5" t="inlineStr">
        <is>
          <t>Confirmé</t>
        </is>
      </c>
    </row>
    <row r="16" ht="20" customHeight="1">
      <c r="A16" s="7" t="inlineStr">
        <is>
          <t>Chasubles personnalisées</t>
        </is>
      </c>
      <c r="B16" s="7" t="inlineStr">
        <is>
          <t>30 pièces — crew + équipes</t>
        </is>
      </c>
      <c r="C16" s="8" t="n">
        <v>400</v>
      </c>
      <c r="D16" s="7" t="inlineStr">
        <is>
          <t>Confirmé</t>
        </is>
      </c>
    </row>
    <row r="17" ht="20" customHeight="1">
      <c r="A17" s="5" t="inlineStr">
        <is>
          <t>Terrain gonflable</t>
        </is>
      </c>
      <c r="B17" s="5" t="inlineStr">
        <is>
          <t>Location + installation + personnalisation</t>
        </is>
      </c>
      <c r="C17" s="6" t="n">
        <v>2000</v>
      </c>
      <c r="D17" s="5" t="inlineStr">
        <is>
          <t>Confirmé</t>
        </is>
      </c>
    </row>
    <row r="18" ht="20" customHeight="1">
      <c r="A18" s="7" t="inlineStr">
        <is>
          <t>Transport &amp; logistique</t>
        </is>
      </c>
      <c r="B18" s="7" t="inlineStr">
        <is>
          <t>Déplacement matériel, manutention</t>
        </is>
      </c>
      <c r="C18" s="8" t="n">
        <v>300</v>
      </c>
      <c r="D18" s="7" t="inlineStr">
        <is>
          <t>Confirmé</t>
        </is>
      </c>
    </row>
    <row r="19" ht="20" customHeight="1">
      <c r="A19" s="5" t="inlineStr">
        <is>
          <t>Cartons public &amp; arbitres</t>
        </is>
      </c>
      <c r="B19" s="5" t="inlineStr">
        <is>
          <t>~500 cartons bicolores</t>
        </is>
      </c>
      <c r="C19" s="6" t="n">
        <v>200</v>
      </c>
      <c r="D19" s="5" t="inlineStr">
        <is>
          <t>Confirmé</t>
        </is>
      </c>
    </row>
    <row r="20" ht="22" customHeight="1">
      <c r="A20" s="13" t="inlineStr">
        <is>
          <t>Sous-total  MATÉRIEL &amp; LOGISTIQUE</t>
        </is>
      </c>
      <c r="C20" s="10">
        <f>SUM(C15:C19)</f>
        <v/>
      </c>
      <c r="D20" s="11" t="n"/>
    </row>
    <row r="22" ht="26" customHeight="1">
      <c r="A22" s="14" t="inlineStr">
        <is>
          <t>🎨  ORGANISATION &amp; COMMUNICATION</t>
        </is>
      </c>
    </row>
    <row r="23" ht="20" customHeight="1">
      <c r="A23" s="5" t="inlineStr">
        <is>
          <t>SUISA</t>
        </is>
      </c>
      <c r="B23" s="5" t="inlineStr">
        <is>
          <t>Droits musique live — Suisse (selon nb spectateurs)</t>
        </is>
      </c>
      <c r="C23" s="6" t="n">
        <v>200</v>
      </c>
      <c r="D23" s="5" t="inlineStr">
        <is>
          <t>À vérifier</t>
        </is>
      </c>
    </row>
    <row r="24" ht="20" customHeight="1">
      <c r="A24" s="7" t="inlineStr">
        <is>
          <t>Organisation générale</t>
        </is>
      </c>
      <c r="B24" s="7" t="inlineStr">
        <is>
          <t>Frais admin, imprévus ops</t>
        </is>
      </c>
      <c r="C24" s="8" t="n">
        <v>2000</v>
      </c>
      <c r="D24" s="7" t="inlineStr">
        <is>
          <t>Confirmé</t>
        </is>
      </c>
    </row>
    <row r="25" ht="20" customHeight="1">
      <c r="A25" s="5" t="inlineStr">
        <is>
          <t>Création graphique &amp; tech</t>
        </is>
      </c>
      <c r="B25" s="5" t="inlineStr">
        <is>
          <t>Identité visuelle, supports, site</t>
        </is>
      </c>
      <c r="C25" s="6" t="n">
        <v>2000</v>
      </c>
      <c r="D25" s="5" t="inlineStr">
        <is>
          <t>Confirmé</t>
        </is>
      </c>
    </row>
    <row r="26" ht="20" customHeight="1">
      <c r="A26" s="7" t="inlineStr">
        <is>
          <t>Divers &amp; imprévus</t>
        </is>
      </c>
      <c r="B26" s="7" t="inlineStr">
        <is>
          <t>Réserve 5 %</t>
        </is>
      </c>
      <c r="C26" s="8" t="n">
        <v>500</v>
      </c>
      <c r="D26" s="7" t="inlineStr">
        <is>
          <t>Réserve</t>
        </is>
      </c>
    </row>
    <row r="27" ht="22" customHeight="1">
      <c r="A27" s="15" t="inlineStr">
        <is>
          <t>Sous-total  ORGANISATION &amp; COMMUNICATION</t>
        </is>
      </c>
      <c r="C27" s="10">
        <f>SUM(C23:C26)</f>
        <v/>
      </c>
      <c r="D27" s="11" t="n"/>
    </row>
    <row r="29" ht="26" customHeight="1">
      <c r="A29" s="16" t="inlineStr">
        <is>
          <t>⚠️  POSTES MANQUANTS (à budgéter)</t>
        </is>
      </c>
    </row>
    <row r="30" ht="20" customHeight="1">
      <c r="A30" s="17" t="inlineStr">
        <is>
          <t>Location salle / lieu</t>
        </is>
      </c>
      <c r="B30" s="17" t="inlineStr">
        <is>
          <t>Estimation : 1 500–5 000 CHF selon lieu</t>
        </is>
      </c>
      <c r="C30" s="18" t="inlineStr">
        <is>
          <t>—</t>
        </is>
      </c>
      <c r="D30" s="17" t="inlineStr">
        <is>
          <t>Non budgété</t>
        </is>
      </c>
    </row>
    <row r="31" ht="20" customHeight="1">
      <c r="A31" s="19" t="inlineStr">
        <is>
          <t>Sonorisation</t>
        </is>
      </c>
      <c r="B31" s="19" t="inlineStr">
        <is>
          <t>Enceintes, table de mix, câblage DJ — 500–1 500</t>
        </is>
      </c>
      <c r="C31" s="20" t="inlineStr">
        <is>
          <t>—</t>
        </is>
      </c>
      <c r="D31" s="19" t="inlineStr">
        <is>
          <t>Non budgété</t>
        </is>
      </c>
    </row>
    <row r="32" ht="20" customHeight="1">
      <c r="A32" s="17" t="inlineStr">
        <is>
          <t>Éclairage</t>
        </is>
      </c>
      <c r="B32" s="17" t="inlineStr">
        <is>
          <t>Jeux de lumière, projecteurs — 300–800</t>
        </is>
      </c>
      <c r="C32" s="18" t="inlineStr">
        <is>
          <t>—</t>
        </is>
      </c>
      <c r="D32" s="17" t="inlineStr">
        <is>
          <t>Non budgété</t>
        </is>
      </c>
    </row>
    <row r="33" ht="20" customHeight="1">
      <c r="A33" s="19" t="inlineStr">
        <is>
          <t>Assurance événementielle</t>
        </is>
      </c>
      <c r="B33" s="19" t="inlineStr">
        <is>
          <t>RC obligatoire pour la plupart des salles</t>
        </is>
      </c>
      <c r="C33" s="20" t="inlineStr">
        <is>
          <t>—</t>
        </is>
      </c>
      <c r="D33" s="19" t="inlineStr">
        <is>
          <t>Non budgété</t>
        </is>
      </c>
    </row>
    <row r="34" ht="20" customHeight="1">
      <c r="A34" s="17" t="inlineStr">
        <is>
          <t>Trophées / Prix</t>
        </is>
      </c>
      <c r="B34" s="17" t="inlineStr">
        <is>
          <t>Récompenses équipes + MVP — 200–500</t>
        </is>
      </c>
      <c r="C34" s="18" t="inlineStr">
        <is>
          <t>—</t>
        </is>
      </c>
      <c r="D34" s="17" t="inlineStr">
        <is>
          <t>Non budgété</t>
        </is>
      </c>
    </row>
    <row r="35" ht="20" customHeight="1">
      <c r="A35" s="19" t="inlineStr">
        <is>
          <t>Communication</t>
        </is>
      </c>
      <c r="B35" s="19" t="inlineStr">
        <is>
          <t>Affiches, flyers, boost réseaux — 300–600</t>
        </is>
      </c>
      <c r="C35" s="20" t="inlineStr">
        <is>
          <t>—</t>
        </is>
      </c>
      <c r="D35" s="19" t="inlineStr">
        <is>
          <t>Non budgété</t>
        </is>
      </c>
    </row>
    <row r="36" ht="20" customHeight="1">
      <c r="A36" s="17" t="inlineStr">
        <is>
          <t>Sécurité</t>
        </is>
      </c>
      <c r="B36" s="17" t="inlineStr">
        <is>
          <t>Souvent exigé selon le lieu — 300–800</t>
        </is>
      </c>
      <c r="C36" s="18" t="inlineStr">
        <is>
          <t>—</t>
        </is>
      </c>
      <c r="D36" s="17" t="inlineStr">
        <is>
          <t>Non budgété</t>
        </is>
      </c>
    </row>
    <row r="39" ht="36" customHeight="1">
      <c r="A39" s="21" t="inlineStr">
        <is>
          <t>💰  TOTAL BUDGETÉ (hors postes manquants)</t>
        </is>
      </c>
      <c r="C39" s="22">
        <f>C12+C20+C27</f>
        <v/>
      </c>
      <c r="D39" s="11" t="n"/>
    </row>
    <row r="41" ht="22" customHeight="1">
      <c r="A41" s="23" t="inlineStr">
        <is>
          <t>ℹ️  Budget réaliste estimé avec tous les postes manquants comblés : 15 000 – 18 000 CHF</t>
        </is>
      </c>
    </row>
  </sheetData>
  <mergeCells count="11">
    <mergeCell ref="A1:D1"/>
    <mergeCell ref="A5:D5"/>
    <mergeCell ref="A20:B20"/>
    <mergeCell ref="A22:D22"/>
    <mergeCell ref="A29:D29"/>
    <mergeCell ref="A41:D41"/>
    <mergeCell ref="A2:D2"/>
    <mergeCell ref="A27:B27"/>
    <mergeCell ref="A39:B39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2026-05-23T07:17:01Z</dcterms:created>
  <dcterms:modified xsi:type="dcterms:W3CDTF">2026-05-23T07:17:01Z</dcterms:modified>
</cp:coreProperties>
</file>